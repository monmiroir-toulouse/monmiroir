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s" sheetId="1" state="visible" r:id="rId1"/>
    <sheet xmlns:r="http://schemas.openxmlformats.org/officeDocument/2006/relationships" name="Récap par type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6B1A2A"/>
      <sz val="10"/>
    </font>
    <font>
      <name val="Arial"/>
      <color rgb="001A1614"/>
      <sz val="10"/>
    </font>
    <font>
      <name val="Arial"/>
      <b val="1"/>
      <color rgb="000C447C"/>
      <sz val="10"/>
    </font>
    <font>
      <name val="Arial"/>
      <b val="1"/>
      <color rgb="002E7D52"/>
      <sz val="10"/>
    </font>
    <font>
      <name val="Arial"/>
      <b val="1"/>
      <color rgb="00B45309"/>
      <sz val="10"/>
    </font>
    <font>
      <name val="Arial"/>
      <b val="1"/>
      <color rgb="00633806"/>
      <sz val="10"/>
    </font>
    <font>
      <name val="Arial"/>
      <b val="1"/>
      <color rgb="0027500A"/>
      <sz val="10"/>
    </font>
    <font>
      <name val="Arial"/>
      <b val="1"/>
      <color rgb="005A1A8B"/>
      <sz val="10"/>
    </font>
    <font>
      <name val="Arial"/>
      <b val="1"/>
      <color rgb="001A5E3A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6B1A2A"/>
      </patternFill>
    </fill>
    <fill>
      <patternFill patternType="solid">
        <fgColor rgb="003A3530"/>
      </patternFill>
    </fill>
    <fill>
      <patternFill patternType="solid">
        <fgColor rgb="00F4E8EB"/>
      </patternFill>
    </fill>
    <fill>
      <patternFill patternType="solid">
        <fgColor rgb="00FFFFFF"/>
      </patternFill>
    </fill>
    <fill>
      <patternFill patternType="solid">
        <fgColor rgb="00E6F1FB"/>
      </patternFill>
    </fill>
    <fill>
      <patternFill patternType="solid">
        <fgColor rgb="00F7F5F3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F3E8FB"/>
      </patternFill>
    </fill>
    <fill>
      <patternFill patternType="solid">
        <fgColor rgb="00E8F5EE"/>
      </patternFill>
    </fill>
  </fills>
  <borders count="2">
    <border>
      <left/>
      <right/>
      <top/>
      <bottom/>
      <diagonal/>
    </border>
    <border>
      <left style="thin">
        <color rgb="00D4A0AA"/>
      </left>
      <right style="thin">
        <color rgb="00D4A0AA"/>
      </right>
      <top style="thin">
        <color rgb="00D4A0AA"/>
      </top>
      <bottom style="thin">
        <color rgb="00D4A0A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14" customWidth="1" min="4" max="4"/>
    <col width="16" customWidth="1" min="5" max="5"/>
    <col width="10" customWidth="1" min="6" max="6"/>
    <col width="30" customWidth="1" min="7" max="7"/>
    <col width="14" customWidth="1" min="8" max="8"/>
    <col width="26" customWidth="1" min="9" max="9"/>
    <col width="20" customWidth="1" min="10" max="10"/>
    <col width="12" customWidth="1" min="11" max="11"/>
    <col width="14" customWidth="1" min="12" max="12"/>
    <col width="14" customWidth="1" min="13" max="13"/>
    <col width="30" customWidth="1" min="14" max="14"/>
    <col width="14" customWidth="1" min="15" max="15"/>
  </cols>
  <sheetData>
    <row r="1" ht="50" customHeight="1">
      <c r="A1" s="1" t="inlineStr">
        <is>
          <t>MON MIROIR — Structures Partenaires · Haute-Garonne (31)</t>
        </is>
      </c>
    </row>
    <row r="2" ht="18" customHeight="1">
      <c r="A2" s="2" t="inlineStr">
        <is>
          <t>ID</t>
        </is>
      </c>
      <c r="B2" s="2" t="inlineStr">
        <is>
          <t>Nom de la structure</t>
        </is>
      </c>
      <c r="C2" s="2" t="inlineStr">
        <is>
          <t>Type</t>
        </is>
      </c>
      <c r="D2" s="2" t="inlineStr">
        <is>
          <t>Régime</t>
        </is>
      </c>
      <c r="E2" s="2" t="inlineStr">
        <is>
          <t>Ville</t>
        </is>
      </c>
      <c r="F2" s="2" t="inlineStr">
        <is>
          <t>Code postal</t>
        </is>
      </c>
      <c r="G2" s="2" t="inlineStr">
        <is>
          <t>Adresse</t>
        </is>
      </c>
      <c r="H2" s="2" t="inlineStr">
        <is>
          <t>Téléphone</t>
        </is>
      </c>
      <c r="I2" s="2" t="inlineStr">
        <is>
          <t>Email</t>
        </is>
      </c>
      <c r="J2" s="2" t="inlineStr">
        <is>
          <t>Responsable</t>
        </is>
      </c>
      <c r="K2" s="2" t="inlineStr">
        <is>
          <t>Capacité totale</t>
        </is>
      </c>
      <c r="L2" s="2" t="inlineStr">
        <is>
          <t>Places disponibles</t>
        </is>
      </c>
      <c r="M2" s="2" t="inlineStr">
        <is>
          <t>Tranche d'âge</t>
        </is>
      </c>
      <c r="N2" s="2" t="inlineStr">
        <is>
          <t>Spécialité / Note</t>
        </is>
      </c>
      <c r="O2" s="2" t="inlineStr">
        <is>
          <t>Dernière MAJ</t>
        </is>
      </c>
    </row>
    <row r="3" ht="20" customHeight="1">
      <c r="A3" s="3" t="n">
        <v>1</v>
      </c>
      <c r="B3" s="4" t="inlineStr">
        <is>
          <t>MECS Le Capitole</t>
        </is>
      </c>
      <c r="C3" s="5" t="inlineStr">
        <is>
          <t>MECS</t>
        </is>
      </c>
      <c r="D3" s="4" t="inlineStr">
        <is>
          <t>Civil &amp; Pénal</t>
        </is>
      </c>
      <c r="E3" s="4" t="inlineStr">
        <is>
          <t>Toulouse</t>
        </is>
      </c>
      <c r="F3" s="4" t="inlineStr">
        <is>
          <t>31000</t>
        </is>
      </c>
      <c r="G3" s="4" t="inlineStr">
        <is>
          <t>À compléter</t>
        </is>
      </c>
      <c r="H3" s="4" t="inlineStr">
        <is>
          <t>05 61 XX XX XX</t>
        </is>
      </c>
      <c r="I3" s="4" t="inlineStr">
        <is>
          <t>contact@exemple.fr</t>
        </is>
      </c>
      <c r="J3" s="4" t="inlineStr">
        <is>
          <t>À compléter</t>
        </is>
      </c>
      <c r="K3" s="6" t="n">
        <v>24</v>
      </c>
      <c r="L3" s="7" t="n">
        <v>4</v>
      </c>
      <c r="M3" s="4" t="inlineStr">
        <is>
          <t>6-18 ans</t>
        </is>
      </c>
      <c r="N3" s="4" t="inlineStr">
        <is>
          <t>Spécialisé MNA</t>
        </is>
      </c>
    </row>
    <row r="4" ht="20" customHeight="1">
      <c r="A4" s="3" t="n">
        <v>2</v>
      </c>
      <c r="B4" s="8" t="inlineStr">
        <is>
          <t>MECS Saint-Exupéry</t>
        </is>
      </c>
      <c r="C4" s="5" t="inlineStr">
        <is>
          <t>MECS</t>
        </is>
      </c>
      <c r="D4" s="8" t="inlineStr">
        <is>
          <t>Civil</t>
        </is>
      </c>
      <c r="E4" s="8" t="inlineStr">
        <is>
          <t>Toulouse</t>
        </is>
      </c>
      <c r="F4" s="8" t="inlineStr">
        <is>
          <t>31000</t>
        </is>
      </c>
      <c r="G4" s="8" t="inlineStr">
        <is>
          <t>À compléter</t>
        </is>
      </c>
      <c r="H4" s="8" t="inlineStr">
        <is>
          <t>05 61 XX XX XX</t>
        </is>
      </c>
      <c r="I4" s="8" t="inlineStr"/>
      <c r="J4" s="8" t="inlineStr">
        <is>
          <t>À compléter</t>
        </is>
      </c>
      <c r="K4" s="9" t="n">
        <v>18</v>
      </c>
      <c r="L4" s="10" t="n">
        <v>0</v>
      </c>
      <c r="M4" s="8" t="inlineStr">
        <is>
          <t>12-18 ans</t>
        </is>
      </c>
      <c r="N4" s="8" t="inlineStr"/>
    </row>
    <row r="5" ht="20" customHeight="1">
      <c r="A5" s="3" t="n">
        <v>3</v>
      </c>
      <c r="B5" s="4" t="inlineStr">
        <is>
          <t>Foyer Les Oliviers</t>
        </is>
      </c>
      <c r="C5" s="5" t="inlineStr">
        <is>
          <t>MECS</t>
        </is>
      </c>
      <c r="D5" s="4" t="inlineStr">
        <is>
          <t>Civil &amp; Pénal</t>
        </is>
      </c>
      <c r="E5" s="4" t="inlineStr">
        <is>
          <t>Muret</t>
        </is>
      </c>
      <c r="F5" s="4" t="inlineStr">
        <is>
          <t>31600</t>
        </is>
      </c>
      <c r="G5" s="4" t="inlineStr">
        <is>
          <t>À compléter</t>
        </is>
      </c>
      <c r="H5" s="4" t="inlineStr">
        <is>
          <t>05 61 XX XX XX</t>
        </is>
      </c>
      <c r="I5" s="4" t="inlineStr"/>
      <c r="J5" s="4" t="inlineStr">
        <is>
          <t>À compléter</t>
        </is>
      </c>
      <c r="K5" s="6" t="n">
        <v>12</v>
      </c>
      <c r="L5" s="11" t="n">
        <v>2</v>
      </c>
      <c r="M5" s="4" t="inlineStr">
        <is>
          <t>14-21 ans</t>
        </is>
      </c>
      <c r="N5" s="4" t="inlineStr">
        <is>
          <t>Jeunes majeurs acceptés</t>
        </is>
      </c>
    </row>
    <row r="6" ht="20" customHeight="1">
      <c r="A6" s="3" t="n">
        <v>4</v>
      </c>
      <c r="B6" s="8" t="inlineStr">
        <is>
          <t>MECS Arc-en-Ciel</t>
        </is>
      </c>
      <c r="C6" s="5" t="inlineStr">
        <is>
          <t>MECS</t>
        </is>
      </c>
      <c r="D6" s="8" t="inlineStr">
        <is>
          <t>Civil</t>
        </is>
      </c>
      <c r="E6" s="8" t="inlineStr">
        <is>
          <t>Blagnac</t>
        </is>
      </c>
      <c r="F6" s="8" t="inlineStr">
        <is>
          <t>31700</t>
        </is>
      </c>
      <c r="G6" s="8" t="inlineStr">
        <is>
          <t>À compléter</t>
        </is>
      </c>
      <c r="H6" s="8" t="inlineStr">
        <is>
          <t>05 61 XX XX XX</t>
        </is>
      </c>
      <c r="I6" s="8" t="inlineStr"/>
      <c r="J6" s="8" t="inlineStr">
        <is>
          <t>À compléter</t>
        </is>
      </c>
      <c r="K6" s="9" t="n">
        <v>20</v>
      </c>
      <c r="L6" s="12" t="n">
        <v>7</v>
      </c>
      <c r="M6" s="8" t="inlineStr">
        <is>
          <t>6-18 ans</t>
        </is>
      </c>
      <c r="N6" s="8" t="inlineStr"/>
    </row>
    <row r="7" ht="20" customHeight="1">
      <c r="A7" s="3" t="n">
        <v>5</v>
      </c>
      <c r="B7" s="4" t="inlineStr">
        <is>
          <t>MECS La Garonne</t>
        </is>
      </c>
      <c r="C7" s="5" t="inlineStr">
        <is>
          <t>MECS</t>
        </is>
      </c>
      <c r="D7" s="4" t="inlineStr">
        <is>
          <t>Pénal</t>
        </is>
      </c>
      <c r="E7" s="4" t="inlineStr">
        <is>
          <t>Colomiers</t>
        </is>
      </c>
      <c r="F7" s="4" t="inlineStr">
        <is>
          <t>31770</t>
        </is>
      </c>
      <c r="G7" s="4" t="inlineStr">
        <is>
          <t>À compléter</t>
        </is>
      </c>
      <c r="H7" s="4" t="inlineStr">
        <is>
          <t>05 61 XX XX XX</t>
        </is>
      </c>
      <c r="I7" s="4" t="inlineStr"/>
      <c r="J7" s="4" t="inlineStr">
        <is>
          <t>À compléter</t>
        </is>
      </c>
      <c r="K7" s="6" t="n">
        <v>15</v>
      </c>
      <c r="L7" s="11" t="n">
        <v>1</v>
      </c>
      <c r="M7" s="4" t="inlineStr">
        <is>
          <t>13-18 ans</t>
        </is>
      </c>
      <c r="N7" s="4" t="inlineStr"/>
    </row>
    <row r="8" ht="20" customHeight="1">
      <c r="A8" s="3" t="n">
        <v>6</v>
      </c>
      <c r="B8" s="8" t="inlineStr">
        <is>
          <t>CEF de Muret</t>
        </is>
      </c>
      <c r="C8" s="13" t="inlineStr">
        <is>
          <t>CEF</t>
        </is>
      </c>
      <c r="D8" s="8" t="inlineStr">
        <is>
          <t>Pénal</t>
        </is>
      </c>
      <c r="E8" s="8" t="inlineStr">
        <is>
          <t>Muret</t>
        </is>
      </c>
      <c r="F8" s="8" t="inlineStr">
        <is>
          <t>31600</t>
        </is>
      </c>
      <c r="G8" s="8" t="inlineStr">
        <is>
          <t>À compléter</t>
        </is>
      </c>
      <c r="H8" s="8" t="inlineStr">
        <is>
          <t>05 61 XX XX XX</t>
        </is>
      </c>
      <c r="I8" s="8" t="inlineStr"/>
      <c r="J8" s="8" t="inlineStr">
        <is>
          <t>À compléter</t>
        </is>
      </c>
      <c r="K8" s="9" t="n">
        <v>12</v>
      </c>
      <c r="L8" s="14" t="n">
        <v>2</v>
      </c>
      <c r="M8" s="8" t="inlineStr">
        <is>
          <t>13-18 ans</t>
        </is>
      </c>
      <c r="N8" s="8" t="inlineStr">
        <is>
          <t>Placement judiciaire pénal</t>
        </is>
      </c>
    </row>
    <row r="9" ht="20" customHeight="1">
      <c r="A9" s="3" t="n">
        <v>7</v>
      </c>
      <c r="B9" s="4" t="inlineStr">
        <is>
          <t>EPEI Toulouse Sud</t>
        </is>
      </c>
      <c r="C9" s="13" t="inlineStr">
        <is>
          <t>CEF</t>
        </is>
      </c>
      <c r="D9" s="4" t="inlineStr">
        <is>
          <t>Pénal</t>
        </is>
      </c>
      <c r="E9" s="4" t="inlineStr">
        <is>
          <t>Toulouse</t>
        </is>
      </c>
      <c r="F9" s="4" t="inlineStr">
        <is>
          <t>31000</t>
        </is>
      </c>
      <c r="G9" s="4" t="inlineStr">
        <is>
          <t>À compléter</t>
        </is>
      </c>
      <c r="H9" s="4" t="inlineStr">
        <is>
          <t>05 61 XX XX XX</t>
        </is>
      </c>
      <c r="I9" s="4" t="inlineStr"/>
      <c r="J9" s="4" t="inlineStr">
        <is>
          <t>À compléter</t>
        </is>
      </c>
      <c r="K9" s="6" t="n">
        <v>8</v>
      </c>
      <c r="L9" s="15" t="n">
        <v>0</v>
      </c>
      <c r="M9" s="4" t="inlineStr">
        <is>
          <t>16-18 ans</t>
        </is>
      </c>
      <c r="N9" s="4" t="inlineStr">
        <is>
          <t>Profil complexe</t>
        </is>
      </c>
    </row>
    <row r="10" ht="20" customHeight="1">
      <c r="A10" s="3" t="n">
        <v>8</v>
      </c>
      <c r="B10" s="8" t="inlineStr">
        <is>
          <t>AEMO Haute-Garonne</t>
        </is>
      </c>
      <c r="C10" s="16" t="inlineStr">
        <is>
          <t>AEMO</t>
        </is>
      </c>
      <c r="D10" s="8" t="inlineStr">
        <is>
          <t>Civil &amp; Pénal</t>
        </is>
      </c>
      <c r="E10" s="8" t="inlineStr">
        <is>
          <t>Toulouse</t>
        </is>
      </c>
      <c r="F10" s="8" t="inlineStr">
        <is>
          <t>31000</t>
        </is>
      </c>
      <c r="G10" s="8" t="inlineStr">
        <is>
          <t>À compléter</t>
        </is>
      </c>
      <c r="H10" s="8" t="inlineStr">
        <is>
          <t>05 61 XX XX XX</t>
        </is>
      </c>
      <c r="I10" s="8" t="inlineStr"/>
      <c r="J10" s="8" t="inlineStr">
        <is>
          <t>À compléter</t>
        </is>
      </c>
      <c r="K10" s="9" t="n">
        <v>80</v>
      </c>
      <c r="L10" s="12" t="n">
        <v>12</v>
      </c>
      <c r="M10" s="8" t="inlineStr">
        <is>
          <t>0-18 ans</t>
        </is>
      </c>
      <c r="N10" s="8" t="inlineStr">
        <is>
          <t>Suivi à domicile</t>
        </is>
      </c>
    </row>
    <row r="11" ht="20" customHeight="1">
      <c r="A11" s="3" t="n">
        <v>9</v>
      </c>
      <c r="B11" s="4" t="inlineStr">
        <is>
          <t>AEMO Renforcée 31</t>
        </is>
      </c>
      <c r="C11" s="16" t="inlineStr">
        <is>
          <t>AEMO</t>
        </is>
      </c>
      <c r="D11" s="4" t="inlineStr">
        <is>
          <t>Pénal</t>
        </is>
      </c>
      <c r="E11" s="4" t="inlineStr">
        <is>
          <t>Toulouse</t>
        </is>
      </c>
      <c r="F11" s="4" t="inlineStr">
        <is>
          <t>31000</t>
        </is>
      </c>
      <c r="G11" s="4" t="inlineStr">
        <is>
          <t>À compléter</t>
        </is>
      </c>
      <c r="H11" s="4" t="inlineStr">
        <is>
          <t>05 61 XX XX XX</t>
        </is>
      </c>
      <c r="I11" s="4" t="inlineStr"/>
      <c r="J11" s="4" t="inlineStr">
        <is>
          <t>À compléter</t>
        </is>
      </c>
      <c r="K11" s="6" t="n">
        <v>40</v>
      </c>
      <c r="L11" s="7" t="n">
        <v>5</v>
      </c>
      <c r="M11" s="4" t="inlineStr">
        <is>
          <t>10-18 ans</t>
        </is>
      </c>
      <c r="N11" s="4" t="inlineStr">
        <is>
          <t>LSP et ARSE</t>
        </is>
      </c>
    </row>
    <row r="12" ht="20" customHeight="1">
      <c r="A12" s="3" t="n">
        <v>10</v>
      </c>
      <c r="B12" s="8" t="inlineStr">
        <is>
          <t>Service AEMO Comminges</t>
        </is>
      </c>
      <c r="C12" s="16" t="inlineStr">
        <is>
          <t>AEMO</t>
        </is>
      </c>
      <c r="D12" s="8" t="inlineStr">
        <is>
          <t>Civil</t>
        </is>
      </c>
      <c r="E12" s="8" t="inlineStr">
        <is>
          <t>Saint-Gaudens</t>
        </is>
      </c>
      <c r="F12" s="8" t="inlineStr">
        <is>
          <t>31800</t>
        </is>
      </c>
      <c r="G12" s="8" t="inlineStr">
        <is>
          <t>À compléter</t>
        </is>
      </c>
      <c r="H12" s="8" t="inlineStr">
        <is>
          <t>05 61 XX XX XX</t>
        </is>
      </c>
      <c r="I12" s="8" t="inlineStr"/>
      <c r="J12" s="8" t="inlineStr">
        <is>
          <t>À compléter</t>
        </is>
      </c>
      <c r="K12" s="9" t="n">
        <v>30</v>
      </c>
      <c r="L12" s="10" t="n">
        <v>0</v>
      </c>
      <c r="M12" s="8" t="inlineStr">
        <is>
          <t>0-18 ans</t>
        </is>
      </c>
      <c r="N12" s="8" t="inlineStr"/>
    </row>
    <row r="13" ht="20" customHeight="1">
      <c r="A13" s="3" t="n">
        <v>11</v>
      </c>
      <c r="B13" s="4" t="inlineStr">
        <is>
          <t>ITEP Les Pins</t>
        </is>
      </c>
      <c r="C13" s="17" t="inlineStr">
        <is>
          <t>ITEP</t>
        </is>
      </c>
      <c r="D13" s="4" t="inlineStr">
        <is>
          <t>Civil</t>
        </is>
      </c>
      <c r="E13" s="4" t="inlineStr">
        <is>
          <t>Toulouse</t>
        </is>
      </c>
      <c r="F13" s="4" t="inlineStr">
        <is>
          <t>31000</t>
        </is>
      </c>
      <c r="G13" s="4" t="inlineStr">
        <is>
          <t>À compléter</t>
        </is>
      </c>
      <c r="H13" s="4" t="inlineStr">
        <is>
          <t>05 61 XX XX XX</t>
        </is>
      </c>
      <c r="I13" s="4" t="inlineStr"/>
      <c r="J13" s="4" t="inlineStr">
        <is>
          <t>À compléter</t>
        </is>
      </c>
      <c r="K13" s="6" t="n">
        <v>30</v>
      </c>
      <c r="L13" s="7" t="n">
        <v>3</v>
      </c>
      <c r="M13" s="4" t="inlineStr">
        <is>
          <t>6-18 ans</t>
        </is>
      </c>
      <c r="N13" s="4" t="inlineStr">
        <is>
          <t>Troubles du comportement</t>
        </is>
      </c>
    </row>
    <row r="14" ht="20" customHeight="1">
      <c r="A14" s="3" t="n">
        <v>12</v>
      </c>
      <c r="B14" s="8" t="inlineStr">
        <is>
          <t>ITEP Val de Garonne</t>
        </is>
      </c>
      <c r="C14" s="17" t="inlineStr">
        <is>
          <t>ITEP</t>
        </is>
      </c>
      <c r="D14" s="8" t="inlineStr">
        <is>
          <t>Civil</t>
        </is>
      </c>
      <c r="E14" s="8" t="inlineStr">
        <is>
          <t>Muret</t>
        </is>
      </c>
      <c r="F14" s="8" t="inlineStr">
        <is>
          <t>31600</t>
        </is>
      </c>
      <c r="G14" s="8" t="inlineStr">
        <is>
          <t>À compléter</t>
        </is>
      </c>
      <c r="H14" s="8" t="inlineStr">
        <is>
          <t>05 61 XX XX XX</t>
        </is>
      </c>
      <c r="I14" s="8" t="inlineStr"/>
      <c r="J14" s="8" t="inlineStr">
        <is>
          <t>À compléter</t>
        </is>
      </c>
      <c r="K14" s="9" t="n">
        <v>20</v>
      </c>
      <c r="L14" s="10" t="n">
        <v>0</v>
      </c>
      <c r="M14" s="8" t="inlineStr">
        <is>
          <t>10-18 ans</t>
        </is>
      </c>
      <c r="N14" s="8" t="inlineStr"/>
    </row>
    <row r="15" ht="20" customHeight="1">
      <c r="A15" s="3" t="n">
        <v>13</v>
      </c>
      <c r="B15" s="4" t="inlineStr">
        <is>
          <t>CADA Toulouse Centre</t>
        </is>
      </c>
      <c r="C15" s="18" t="inlineStr">
        <is>
          <t>CADA</t>
        </is>
      </c>
      <c r="D15" s="4" t="inlineStr">
        <is>
          <t>Civil</t>
        </is>
      </c>
      <c r="E15" s="4" t="inlineStr">
        <is>
          <t>Toulouse</t>
        </is>
      </c>
      <c r="F15" s="4" t="inlineStr">
        <is>
          <t>31000</t>
        </is>
      </c>
      <c r="G15" s="4" t="inlineStr">
        <is>
          <t>À compléter</t>
        </is>
      </c>
      <c r="H15" s="4" t="inlineStr">
        <is>
          <t>05 61 XX XX XX</t>
        </is>
      </c>
      <c r="I15" s="4" t="inlineStr"/>
      <c r="J15" s="4" t="inlineStr">
        <is>
          <t>À compléter</t>
        </is>
      </c>
      <c r="K15" s="6" t="n">
        <v>60</v>
      </c>
      <c r="L15" s="7" t="n">
        <v>8</v>
      </c>
      <c r="M15" s="4" t="inlineStr">
        <is>
          <t>Tous âges</t>
        </is>
      </c>
      <c r="N15" s="4" t="inlineStr">
        <is>
          <t>Hébergement demandeurs asile</t>
        </is>
      </c>
    </row>
    <row r="16" ht="20" customHeight="1">
      <c r="A16" s="3" t="n">
        <v>14</v>
      </c>
      <c r="B16" s="8" t="inlineStr">
        <is>
          <t>Hébergement Urgence MNA</t>
        </is>
      </c>
      <c r="C16" s="18" t="inlineStr">
        <is>
          <t>CADA</t>
        </is>
      </c>
      <c r="D16" s="8" t="inlineStr">
        <is>
          <t>Civil</t>
        </is>
      </c>
      <c r="E16" s="8" t="inlineStr">
        <is>
          <t>Toulouse</t>
        </is>
      </c>
      <c r="F16" s="8" t="inlineStr">
        <is>
          <t>31000</t>
        </is>
      </c>
      <c r="G16" s="8" t="inlineStr">
        <is>
          <t>À compléter</t>
        </is>
      </c>
      <c r="H16" s="8" t="inlineStr">
        <is>
          <t>05 61 XX XX XX</t>
        </is>
      </c>
      <c r="I16" s="8" t="inlineStr"/>
      <c r="J16" s="8" t="inlineStr">
        <is>
          <t>À compléter</t>
        </is>
      </c>
      <c r="K16" s="9" t="n">
        <v>20</v>
      </c>
      <c r="L16" s="12" t="n">
        <v>5</v>
      </c>
      <c r="M16" s="8" t="inlineStr">
        <is>
          <t>0-18 ans</t>
        </is>
      </c>
      <c r="N16" s="8" t="inlineStr">
        <is>
          <t>Accueil urgence MNA</t>
        </is>
      </c>
    </row>
    <row r="17" ht="20" customHeight="1">
      <c r="A17" s="3" t="n">
        <v>15</v>
      </c>
      <c r="B17" s="4" t="inlineStr">
        <is>
          <t>À compléter</t>
        </is>
      </c>
      <c r="C17" s="5" t="inlineStr">
        <is>
          <t>MECS</t>
        </is>
      </c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n">
        <v>0</v>
      </c>
      <c r="L17" s="15" t="n">
        <v>0</v>
      </c>
      <c r="M17" s="4" t="inlineStr"/>
      <c r="N17" s="4" t="inlineStr"/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9" t="inlineStr">
        <is>
          <t>Récapitulatif par type de structure</t>
        </is>
      </c>
    </row>
    <row r="2" ht="20" customHeight="1">
      <c r="A2" s="2" t="inlineStr">
        <is>
          <t>Type</t>
        </is>
      </c>
      <c r="B2" s="2" t="inlineStr">
        <is>
          <t>Nb structures</t>
        </is>
      </c>
      <c r="C2" s="2" t="inlineStr">
        <is>
          <t>Capacité totale</t>
        </is>
      </c>
      <c r="D2" s="2" t="inlineStr">
        <is>
          <t>Places dispo</t>
        </is>
      </c>
    </row>
    <row r="3" ht="20" customHeight="1">
      <c r="A3" s="5" t="inlineStr">
        <is>
          <t>MECS</t>
        </is>
      </c>
      <c r="B3" s="6">
        <f>COUNTIF(Structures!C:C,"MECS")</f>
        <v/>
      </c>
      <c r="C3" s="6">
        <f>SUMIF(Structures!C:C,"MECS",Structures!K:K)</f>
        <v/>
      </c>
      <c r="D3" s="6">
        <f>SUMIF(Structures!C:C,"MECS",Structures!L:L)</f>
        <v/>
      </c>
    </row>
    <row r="4" ht="20" customHeight="1">
      <c r="A4" s="13" t="inlineStr">
        <is>
          <t>CEF</t>
        </is>
      </c>
      <c r="B4" s="9">
        <f>COUNTIF(Structures!C:C,"CEF")</f>
        <v/>
      </c>
      <c r="C4" s="9">
        <f>SUMIF(Structures!C:C,"CEF",Structures!K:K)</f>
        <v/>
      </c>
      <c r="D4" s="9">
        <f>SUMIF(Structures!C:C,"CEF",Structures!L:L)</f>
        <v/>
      </c>
    </row>
    <row r="5" ht="20" customHeight="1">
      <c r="A5" s="16" t="inlineStr">
        <is>
          <t>AEMO</t>
        </is>
      </c>
      <c r="B5" s="6">
        <f>COUNTIF(Structures!C:C,"AEMO")</f>
        <v/>
      </c>
      <c r="C5" s="6">
        <f>SUMIF(Structures!C:C,"AEMO",Structures!K:K)</f>
        <v/>
      </c>
      <c r="D5" s="6">
        <f>SUMIF(Structures!C:C,"AEMO",Structures!L:L)</f>
        <v/>
      </c>
    </row>
    <row r="6" ht="20" customHeight="1">
      <c r="A6" s="17" t="inlineStr">
        <is>
          <t>ITEP</t>
        </is>
      </c>
      <c r="B6" s="9">
        <f>COUNTIF(Structures!C:C,"ITEP")</f>
        <v/>
      </c>
      <c r="C6" s="9">
        <f>SUMIF(Structures!C:C,"ITEP",Structures!K:K)</f>
        <v/>
      </c>
      <c r="D6" s="9">
        <f>SUMIF(Structures!C:C,"ITEP",Structures!L:L)</f>
        <v/>
      </c>
    </row>
    <row r="7" ht="20" customHeight="1">
      <c r="A7" s="18" t="inlineStr">
        <is>
          <t>CADA</t>
        </is>
      </c>
      <c r="B7" s="6">
        <f>COUNTIF(Structures!C:C,"CADA")</f>
        <v/>
      </c>
      <c r="C7" s="6">
        <f>SUMIF(Structures!C:C,"CADA",Structures!K:K)</f>
        <v/>
      </c>
      <c r="D7" s="6">
        <f>SUMIF(Structures!C:C,"CADA",Structures!L:L)</f>
        <v/>
      </c>
    </row>
    <row r="8" ht="22" customHeight="1">
      <c r="A8" s="20" t="inlineStr">
        <is>
          <t>TOTAL</t>
        </is>
      </c>
      <c r="B8" s="20">
        <f>SUM(B3:B7)</f>
        <v/>
      </c>
      <c r="C8" s="20">
        <f>SUM(C3:C7)</f>
        <v/>
      </c>
      <c r="D8" s="20">
        <f>SUM(D3:D7)</f>
        <v/>
      </c>
    </row>
  </sheetData>
  <mergeCells count="2">
    <mergeCell ref="A1:D1"/>
    <mergeCell ref="A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9" t="inlineStr">
        <is>
          <t>Mode d'emploi — Fichier Structures Partenaires Mon Miroir</t>
        </is>
      </c>
    </row>
    <row r="2" ht="24" customHeight="1">
      <c r="A2" s="21" t="inlineStr">
        <is>
          <t>ONGLET Structures</t>
        </is>
      </c>
      <c r="B2" s="22" t="inlineStr">
        <is>
          <t>Remplissez chaque ligne avec les vraies données d'une structure.</t>
        </is>
      </c>
    </row>
    <row r="3" ht="24" customHeight="1">
      <c r="A3" s="23" t="inlineStr">
        <is>
          <t>Colonne ID</t>
        </is>
      </c>
      <c r="B3" s="4" t="inlineStr">
        <is>
          <t>Numéro unique. Ne pas modifier.</t>
        </is>
      </c>
    </row>
    <row r="4" ht="24" customHeight="1">
      <c r="A4" s="21" t="inlineStr">
        <is>
          <t>Colonne Type</t>
        </is>
      </c>
      <c r="B4" s="22" t="inlineStr">
        <is>
          <t>Utilisez exactement : MECS, CEF, AEMO, ITEP ou CADA</t>
        </is>
      </c>
    </row>
    <row r="5" ht="24" customHeight="1">
      <c r="A5" s="23" t="inlineStr">
        <is>
          <t>Colonne Régime</t>
        </is>
      </c>
      <c r="B5" s="4" t="inlineStr">
        <is>
          <t>Civil / Pénal / Civil &amp; Pénal</t>
        </is>
      </c>
    </row>
    <row r="6" ht="24" customHeight="1">
      <c r="A6" s="21" t="inlineStr">
        <is>
          <t>Colonne Places disponibles</t>
        </is>
      </c>
      <c r="B6" s="22" t="inlineStr">
        <is>
          <t>Mettez à jour régulièrement. 0 = complet.</t>
        </is>
      </c>
    </row>
    <row r="7" ht="24" customHeight="1">
      <c r="A7" s="23" t="inlineStr">
        <is>
          <t>Colonne Dernière MAJ</t>
        </is>
      </c>
      <c r="B7" s="4" t="inlineStr">
        <is>
          <t>Format JJ/MM/AAAA — date de la dernière mise à jour.</t>
        </is>
      </c>
    </row>
    <row r="8" ht="24" customHeight="1">
      <c r="A8" s="21" t="inlineStr">
        <is>
          <t>Ajouter une structure</t>
        </is>
      </c>
      <c r="B8" s="22" t="inlineStr">
        <is>
          <t>Copiez une ligne existante et modifiez les données.</t>
        </is>
      </c>
    </row>
    <row r="9" ht="24" customHeight="1">
      <c r="A9" s="23" t="inlineStr">
        <is>
          <t>ONGLET Récap par type</t>
        </is>
      </c>
      <c r="B9" s="4" t="inlineStr">
        <is>
          <t>Se met à jour automatiquement. Ne pas modifier.</t>
        </is>
      </c>
    </row>
    <row r="10" ht="24" customHeight="1">
      <c r="A10" s="21" t="inlineStr">
        <is>
          <t>Import dans Mon Miroir</t>
        </is>
      </c>
      <c r="B10" s="22" t="inlineStr">
        <is>
          <t>Une fois rempli, transmettez ce fichier au développeur pour import dans partenaires.html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2026-03-31T16:29:31Z</dcterms:created>
  <dcterms:modified xmlns:dcterms="http://purl.org/dc/terms/" xmlns:xsi="http://www.w3.org/2001/XMLSchema-instance" xsi:type="dcterms:W3CDTF">2026-03-31T16:29:31Z</dcterms:modified>
</cp:coreProperties>
</file>